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NOT CHANGE Bulk Returns Mode" sheetId="1" r:id="rId4"/>
    <sheet state="visible" name="Copy of Bulk Returns Model" sheetId="2" r:id="rId5"/>
  </sheets>
  <definedNames/>
  <calcPr/>
  <extLst>
    <ext uri="GoogleSheetsCustomDataVersion2">
      <go:sheetsCustomData xmlns:go="http://customooxmlschemas.google.com/" r:id="rId6" roundtripDataChecksum="u9DuaniVIrLBYbtwJ0NfsPvXIJjAoJwZf8tGM8ijqd8="/>
    </ext>
  </extLst>
</workbook>
</file>

<file path=xl/sharedStrings.xml><?xml version="1.0" encoding="utf-8"?>
<sst xmlns="http://schemas.openxmlformats.org/spreadsheetml/2006/main" count="198" uniqueCount="80">
  <si>
    <t>97 ALTA  |  Bulk Acquisition Return Model</t>
  </si>
  <si>
    <t>Rhapta Road, Westlands, Nairobi   |   Practical Completion June 2029   |   M&amp;S Capital Partners</t>
  </si>
  <si>
    <t>1. INPUTS — UNIT MIX (editable)</t>
  </si>
  <si>
    <t xml:space="preserve">Cell shading: </t>
  </si>
  <si>
    <t>editable input</t>
  </si>
  <si>
    <t>computed</t>
  </si>
  <si>
    <t>Unit type</t>
  </si>
  <si>
    <t>Mini 1-Bed</t>
  </si>
  <si>
    <t>1-Bed</t>
  </si>
  <si>
    <t>2-Bed</t>
  </si>
  <si>
    <t>TOTAL</t>
  </si>
  <si>
    <t>Number of units (editable)</t>
  </si>
  <si>
    <t>List price avg (KES) — mid-floor</t>
  </si>
  <si>
    <t>Market price at list (KES)</t>
  </si>
  <si>
    <t>2. DISCOUNT TIER (auto-applied based on total invested)</t>
  </si>
  <si>
    <t>Tier</t>
  </si>
  <si>
    <t>Min</t>
  </si>
  <si>
    <t>Max</t>
  </si>
  <si>
    <t>Discount</t>
  </si>
  <si>
    <t>1.  KES 30 – 40m</t>
  </si>
  <si>
    <t>2.  KES 40 – 50m</t>
  </si>
  <si>
    <t>3.  KES 50 – 100m</t>
  </si>
  <si>
    <t>4.  KES 100 – 150m+</t>
  </si>
  <si>
    <t>Market price (at list)</t>
  </si>
  <si>
    <t>Applied discount %</t>
  </si>
  <si>
    <t>OFFER PRICE (cash in to developer)</t>
  </si>
  <si>
    <t>Day-1 discount captured</t>
  </si>
  <si>
    <t>Acquisition costs (4% stamp duty + 1% legal/SC)</t>
  </si>
  <si>
    <t>TOTAL CASH DEPLOYED</t>
  </si>
  <si>
    <t>3. RENTAL ASSUMPTIONS — AIRBNB BASIS (editable)</t>
  </si>
  <si>
    <t>Average daily rate (USD)</t>
  </si>
  <si>
    <t>USD / KES exchange rate</t>
  </si>
  <si>
    <t>Days per year</t>
  </si>
  <si>
    <t>Annual SC per unit (KES)</t>
  </si>
  <si>
    <t>Variable costs (Airbnb platform + mgmt + cleaning, % of gross)</t>
  </si>
  <si>
    <t>Rental escalation p.a.</t>
  </si>
  <si>
    <t>4. FURNITURE (one-off) AND UNFURNISHED LONG-LET BASIS</t>
  </si>
  <si>
    <t>Furniture cost per unit (KES, fixed)</t>
  </si>
  <si>
    <t>Unfurnished long-let rent / month (KES)</t>
  </si>
  <si>
    <t>Long-let mgmt fee (% of gross)</t>
  </si>
  <si>
    <t>5. CAPITAL APPRECIATION (editable)</t>
  </si>
  <si>
    <t>Construction period appreciation (gross, to Practical Completion)</t>
  </si>
  <si>
    <t>Post-completion appreciation p.a.</t>
  </si>
  <si>
    <t>Post-completion hold (years)</t>
  </si>
  <si>
    <t>Construction period (months)</t>
  </si>
  <si>
    <t>6. RENTAL BUILD-UP — annual net per unit, by occupancy (computed)</t>
  </si>
  <si>
    <t>60% occ</t>
  </si>
  <si>
    <t>70% occ</t>
  </si>
  <si>
    <t>80% occ</t>
  </si>
  <si>
    <t>FURNISHED — annual net (KES)</t>
  </si>
  <si>
    <t>UNFURNISHED — annual net (KES)</t>
  </si>
  <si>
    <t>Sample mix — annual net (KES)</t>
  </si>
  <si>
    <t>3-yr escalating sum (5% p.a.)</t>
  </si>
  <si>
    <t>Less furniture (mix-weighted, one-off)</t>
  </si>
  <si>
    <t>NET RENTAL OVER 3 YEARS</t>
  </si>
  <si>
    <t>7. CAPITAL APPRECIATION BUILD-UP (sample mix, KES)</t>
  </si>
  <si>
    <t>Appreciation during construction (+15% on list)</t>
  </si>
  <si>
    <t>Appreciation post-completion (7% p.a. × 3 yrs)</t>
  </si>
  <si>
    <t>Less acquisition costs (already in deployed)</t>
  </si>
  <si>
    <t>NET CAPITAL RETURN</t>
  </si>
  <si>
    <t>Exit value at Month 72 (list × (1+15%) × (1.07^3), no sales costs)</t>
  </si>
  <si>
    <t>8. FULL BUILD-UP BY SCENARIO (KES, sample mix)</t>
  </si>
  <si>
    <t>FURNISHED</t>
  </si>
  <si>
    <t>UNFURNISHED</t>
  </si>
  <si>
    <t>Cash invested</t>
  </si>
  <si>
    <t>Capital gain — during construction</t>
  </si>
  <si>
    <t>Capital gain — post-completion</t>
  </si>
  <si>
    <t>Rental income — net (over 3 yrs)</t>
  </si>
  <si>
    <t>TOTAL CASH IN  (sale proceeds + rental)</t>
  </si>
  <si>
    <t>TOTAL PROFIT</t>
  </si>
  <si>
    <t>Money multiple</t>
  </si>
  <si>
    <t>Projected return p.a. (weighted M3 to M72)</t>
  </si>
  <si>
    <t>Notes</t>
  </si>
  <si>
    <t>• Cream-shaded cells are editable inputs; everything else is computed.</t>
  </si>
  <si>
    <t>• Payment schedule assumed: 20% deposit at signing of Sale Agreement, 80% balance over 6 months. IRRs computed on weighted ~M3 capital deployment.</t>
  </si>
  <si>
    <t>• Capital appreciation: +15% during construction (discount recovery + market uplift), then 7% p.a. compound x 3 yrs post-Practical Completion. No exit costs.</t>
  </si>
  <si>
    <t>• Furnished rental: Airbnb basis at $70/$80/$100 nightly (mini/1bed/2bed), KES 130/USD. Variable costs 28% of gross (Airbnb platform + mgmt + cleaning). Fixed furniture cost deducted one-off.</t>
  </si>
  <si>
    <t>• Unfurnished rental: traditional long-let monthly rents from sales sheet; 10% mgmt fee. Annual SC deducted in both bases.</t>
  </si>
  <si>
    <t>• Acquisition costs: 4% stamp duty + 1% legal &amp; SC deposits = 5% of offer price.</t>
  </si>
  <si>
    <t>• Numbers exclude buyer-side capital gains tax (if applicable) and any financing costs.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</si>
</sst>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&quot;$&quot;#,##0"/>
    <numFmt numFmtId="166" formatCode="0.00&quot;x&quot;"/>
  </numFmts>
  <fonts count="14">
    <font>
      <sz val="11.0"/>
      <color theme="1"/>
      <name val="Calibri"/>
      <scheme val="minor"/>
    </font>
    <font>
      <b/>
      <sz val="18.0"/>
      <color rgb="FF8F8252"/>
      <name val="Calibri"/>
    </font>
    <font>
      <i/>
      <sz val="10.0"/>
      <color rgb="FF6B6B6B"/>
      <name val="Calibri"/>
    </font>
    <font>
      <b/>
      <sz val="12.0"/>
      <color rgb="FFFFFFFF"/>
      <name val="Calibri"/>
    </font>
    <font>
      <sz val="11.0"/>
      <color rgb="FF1A1A1A"/>
      <name val="Calibri"/>
    </font>
    <font>
      <i/>
      <sz val="9.0"/>
      <color rgb="FF6B6B6B"/>
      <name val="Calibri"/>
    </font>
    <font>
      <i/>
      <sz val="9.0"/>
      <color rgb="FF1A1A1A"/>
      <name val="Calibri"/>
    </font>
    <font>
      <b/>
      <sz val="11.0"/>
      <color rgb="FF1A1A1A"/>
      <name val="Calibri"/>
    </font>
    <font>
      <b/>
      <sz val="14.0"/>
      <color rgb="FF8F8252"/>
      <name val="Calibri"/>
    </font>
    <font>
      <i/>
      <sz val="11.0"/>
      <color rgb="FF6B6B6B"/>
      <name val="Calibri"/>
    </font>
    <font>
      <b/>
      <sz val="14.0"/>
      <color rgb="FF1A1A1A"/>
      <name val="Calibri"/>
    </font>
    <font/>
    <font>
      <b/>
      <sz val="12.0"/>
      <color rgb="FF8F8252"/>
      <name val="Calibri"/>
    </font>
    <font>
      <b/>
      <sz val="9.0"/>
      <color rgb="FF6B6B6B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F8252"/>
        <bgColor rgb="FF8F8252"/>
      </patternFill>
    </fill>
    <fill>
      <patternFill patternType="solid">
        <fgColor rgb="FFEDE3D0"/>
        <bgColor rgb="FFEDE3D0"/>
      </patternFill>
    </fill>
    <fill>
      <patternFill patternType="solid">
        <fgColor rgb="FFE7E2CC"/>
        <bgColor rgb="FFE7E2CC"/>
      </patternFill>
    </fill>
    <fill>
      <patternFill patternType="solid">
        <fgColor rgb="FFF0E9D4"/>
        <bgColor rgb="FFF0E9D4"/>
      </patternFill>
    </fill>
    <fill>
      <patternFill patternType="solid">
        <fgColor rgb="FFE6E6E6"/>
        <bgColor rgb="FFE6E6E6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7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2" fillId="3" fontId="4" numFmtId="3" xfId="0" applyAlignment="1" applyBorder="1" applyFont="1" applyNumberFormat="1">
      <alignment horizontal="center" readingOrder="0" vertical="center"/>
    </xf>
    <xf borderId="2" fillId="3" fontId="4" numFmtId="3" xfId="0" applyAlignment="1" applyBorder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8" numFmtId="3" xfId="0" applyAlignment="1" applyFont="1" applyNumberFormat="1">
      <alignment horizontal="left" vertical="center"/>
    </xf>
    <xf borderId="0" fillId="0" fontId="9" numFmtId="0" xfId="0" applyAlignment="1" applyFont="1">
      <alignment vertical="center"/>
    </xf>
    <xf borderId="0" fillId="0" fontId="9" numFmtId="3" xfId="0" applyAlignment="1" applyFont="1" applyNumberFormat="1">
      <alignment horizontal="left" vertical="center"/>
    </xf>
    <xf borderId="0" fillId="0" fontId="4" numFmtId="3" xfId="0" applyAlignment="1" applyFont="1" applyNumberFormat="1">
      <alignment horizontal="left" vertical="center"/>
    </xf>
    <xf borderId="1" fillId="4" fontId="7" numFmtId="0" xfId="0" applyAlignment="1" applyBorder="1" applyFill="1" applyFont="1">
      <alignment vertical="center"/>
    </xf>
    <xf borderId="1" fillId="4" fontId="10" numFmtId="3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vertical="center"/>
    </xf>
    <xf borderId="2" fillId="3" fontId="4" numFmtId="165" xfId="0" applyAlignment="1" applyBorder="1" applyFont="1" applyNumberFormat="1">
      <alignment horizontal="center" vertical="center"/>
    </xf>
    <xf borderId="2" fillId="3" fontId="4" numFmtId="9" xfId="0" applyAlignment="1" applyBorder="1" applyFont="1" applyNumberFormat="1">
      <alignment horizontal="center" vertical="center"/>
    </xf>
    <xf borderId="3" fillId="5" fontId="7" numFmtId="0" xfId="0" applyAlignment="1" applyBorder="1" applyFill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3" fillId="6" fontId="7" numFmtId="0" xfId="0" applyAlignment="1" applyBorder="1" applyFill="1" applyFont="1">
      <alignment horizontal="center" vertical="center"/>
    </xf>
    <xf borderId="1" fillId="3" fontId="7" numFmtId="3" xfId="0" applyAlignment="1" applyBorder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1" fillId="4" fontId="12" numFmtId="3" xfId="0" applyAlignment="1" applyBorder="1" applyFont="1" applyNumberFormat="1">
      <alignment horizontal="center" vertical="center"/>
    </xf>
    <xf borderId="1" fillId="4" fontId="8" numFmtId="3" xfId="0" applyAlignment="1" applyBorder="1" applyFont="1" applyNumberFormat="1">
      <alignment horizontal="left" vertical="center"/>
    </xf>
    <xf borderId="1" fillId="5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1" fillId="4" fontId="12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25.86"/>
    <col customWidth="1" min="3" max="10" width="14.0"/>
    <col customWidth="1" min="11" max="26" width="8.71"/>
  </cols>
  <sheetData>
    <row r="1" ht="14.25" customHeight="1"/>
    <row r="2" ht="30.0" customHeight="1">
      <c r="B2" s="1" t="s">
        <v>0</v>
      </c>
    </row>
    <row r="3" ht="14.25" customHeight="1">
      <c r="B3" s="2" t="s">
        <v>1</v>
      </c>
    </row>
    <row r="4" ht="14.25" customHeight="1"/>
    <row r="5" ht="14.25" customHeight="1">
      <c r="B5" s="3" t="s">
        <v>2</v>
      </c>
      <c r="C5" s="4"/>
      <c r="D5" s="4"/>
      <c r="E5" s="4"/>
      <c r="F5" s="4"/>
      <c r="G5" s="4"/>
      <c r="H5" s="4"/>
      <c r="I5" s="4"/>
      <c r="J5" s="4"/>
    </row>
    <row r="6" ht="14.25" customHeight="1">
      <c r="B6" s="5" t="s">
        <v>3</v>
      </c>
      <c r="C6" s="6" t="s">
        <v>4</v>
      </c>
      <c r="D6" s="7" t="s">
        <v>5</v>
      </c>
    </row>
    <row r="7" ht="19.5" customHeight="1">
      <c r="B7" s="8" t="s">
        <v>6</v>
      </c>
      <c r="C7" s="9" t="s">
        <v>7</v>
      </c>
      <c r="D7" s="9" t="s">
        <v>8</v>
      </c>
      <c r="E7" s="9" t="s">
        <v>9</v>
      </c>
      <c r="G7" s="9" t="s">
        <v>10</v>
      </c>
    </row>
    <row r="8" ht="14.25" customHeight="1">
      <c r="B8" s="10" t="s">
        <v>11</v>
      </c>
      <c r="C8" s="12">
        <v>2.0</v>
      </c>
      <c r="D8" s="12">
        <v>3.0</v>
      </c>
      <c r="E8" s="12">
        <v>1.0</v>
      </c>
      <c r="G8" s="13">
        <f>C8+D8+E8</f>
        <v>6</v>
      </c>
    </row>
    <row r="9" ht="14.25" customHeight="1">
      <c r="B9" s="14" t="s">
        <v>12</v>
      </c>
      <c r="C9" s="15">
        <v>7000000.0</v>
      </c>
      <c r="D9" s="15">
        <v>1.02E7</v>
      </c>
      <c r="E9" s="15">
        <v>1.5E7</v>
      </c>
    </row>
    <row r="10" ht="14.25" customHeight="1">
      <c r="B10" s="14" t="s">
        <v>13</v>
      </c>
      <c r="C10" s="15">
        <f t="shared" ref="C10:E10" si="1">C8*C9</f>
        <v>14000000</v>
      </c>
      <c r="D10" s="15">
        <f t="shared" si="1"/>
        <v>30600000</v>
      </c>
      <c r="E10" s="15">
        <f t="shared" si="1"/>
        <v>15000000</v>
      </c>
      <c r="G10" s="13">
        <f>C10+D10+E10</f>
        <v>59600000</v>
      </c>
    </row>
    <row r="11" ht="14.25" customHeight="1"/>
    <row r="12" ht="14.25" customHeight="1">
      <c r="B12" s="3" t="s">
        <v>14</v>
      </c>
      <c r="C12" s="4"/>
      <c r="D12" s="4"/>
      <c r="E12" s="4"/>
      <c r="F12" s="4"/>
      <c r="G12" s="4"/>
      <c r="H12" s="4"/>
      <c r="I12" s="4"/>
      <c r="J12" s="4"/>
    </row>
    <row r="13" ht="14.25" customHeight="1">
      <c r="B13" s="8" t="s">
        <v>15</v>
      </c>
      <c r="C13" s="9" t="s">
        <v>16</v>
      </c>
      <c r="D13" s="9" t="s">
        <v>17</v>
      </c>
      <c r="E13" s="9" t="s">
        <v>18</v>
      </c>
    </row>
    <row r="14" ht="14.25" customHeight="1">
      <c r="B14" s="14" t="s">
        <v>19</v>
      </c>
      <c r="C14" s="15">
        <v>3.0E7</v>
      </c>
      <c r="D14" s="15">
        <v>4.0E7</v>
      </c>
      <c r="E14" s="16">
        <v>0.1</v>
      </c>
    </row>
    <row r="15" ht="14.25" customHeight="1">
      <c r="B15" s="14" t="s">
        <v>20</v>
      </c>
      <c r="C15" s="15">
        <v>4.0E7</v>
      </c>
      <c r="D15" s="15">
        <v>5.0E7</v>
      </c>
      <c r="E15" s="16">
        <v>0.15</v>
      </c>
    </row>
    <row r="16" ht="14.25" customHeight="1">
      <c r="B16" s="14" t="s">
        <v>21</v>
      </c>
      <c r="C16" s="15">
        <v>5.0E7</v>
      </c>
      <c r="D16" s="15">
        <v>1.0E8</v>
      </c>
      <c r="E16" s="16">
        <v>0.2</v>
      </c>
    </row>
    <row r="17" ht="14.25" customHeight="1">
      <c r="B17" s="14" t="s">
        <v>22</v>
      </c>
      <c r="C17" s="15">
        <v>1.0E8</v>
      </c>
      <c r="D17" s="15">
        <v>9.99999999E8</v>
      </c>
      <c r="E17" s="16">
        <v>0.25</v>
      </c>
    </row>
    <row r="18" ht="14.25" customHeight="1"/>
    <row r="19" ht="14.25" customHeight="1">
      <c r="B19" s="10" t="s">
        <v>23</v>
      </c>
      <c r="C19" s="17">
        <f>G10</f>
        <v>59600000</v>
      </c>
    </row>
    <row r="20" ht="14.25" customHeight="1">
      <c r="B20" s="10" t="s">
        <v>24</v>
      </c>
      <c r="C20" s="18">
        <f>IF(C19&lt;C14,0,IF(C19&lt;C15,E14,IF(C19&lt;C16,E15,IF(C19&lt;C17,E16,E17))))</f>
        <v>0.2</v>
      </c>
    </row>
    <row r="21" ht="14.25" customHeight="1">
      <c r="B21" s="10" t="s">
        <v>25</v>
      </c>
      <c r="C21" s="19">
        <f>C19*(1-C20)</f>
        <v>47680000</v>
      </c>
    </row>
    <row r="22" ht="14.25" customHeight="1">
      <c r="B22" s="20" t="s">
        <v>26</v>
      </c>
      <c r="C22" s="21">
        <f>C19-C21</f>
        <v>11920000</v>
      </c>
    </row>
    <row r="23" ht="14.25" customHeight="1"/>
    <row r="24" ht="14.25" customHeight="1">
      <c r="B24" s="14" t="s">
        <v>27</v>
      </c>
      <c r="C24" s="22">
        <f>C21*0.05</f>
        <v>2384000</v>
      </c>
    </row>
    <row r="25" ht="14.25" customHeight="1">
      <c r="B25" s="23" t="s">
        <v>28</v>
      </c>
      <c r="C25" s="24">
        <f>C21+C24</f>
        <v>50064000</v>
      </c>
    </row>
    <row r="26" ht="14.25" customHeight="1"/>
    <row r="27" ht="14.25" customHeight="1">
      <c r="B27" s="3" t="s">
        <v>29</v>
      </c>
      <c r="C27" s="4"/>
      <c r="D27" s="4"/>
      <c r="E27" s="4"/>
      <c r="F27" s="4"/>
      <c r="G27" s="4"/>
      <c r="H27" s="4"/>
      <c r="I27" s="4"/>
      <c r="J27" s="4"/>
    </row>
    <row r="28" ht="14.25" customHeight="1">
      <c r="B28" s="25"/>
      <c r="C28" s="9" t="s">
        <v>7</v>
      </c>
      <c r="D28" s="9" t="s">
        <v>8</v>
      </c>
      <c r="E28" s="9" t="s">
        <v>9</v>
      </c>
    </row>
    <row r="29" ht="14.25" customHeight="1">
      <c r="B29" s="14" t="s">
        <v>30</v>
      </c>
      <c r="C29" s="26">
        <v>70.0</v>
      </c>
      <c r="D29" s="26">
        <v>80.0</v>
      </c>
      <c r="E29" s="26">
        <v>100.0</v>
      </c>
    </row>
    <row r="30" ht="14.25" customHeight="1">
      <c r="B30" s="10" t="s">
        <v>31</v>
      </c>
      <c r="C30" s="12">
        <v>130.0</v>
      </c>
    </row>
    <row r="31" ht="14.25" customHeight="1">
      <c r="B31" s="14" t="s">
        <v>32</v>
      </c>
      <c r="C31" s="15">
        <v>365.0</v>
      </c>
    </row>
    <row r="32" ht="14.25" customHeight="1">
      <c r="B32" s="14" t="s">
        <v>33</v>
      </c>
      <c r="C32" s="12">
        <v>120000.0</v>
      </c>
      <c r="D32" s="12">
        <v>120000.0</v>
      </c>
      <c r="E32" s="12">
        <v>180000.0</v>
      </c>
    </row>
    <row r="33" ht="14.25" customHeight="1">
      <c r="B33" s="10" t="s">
        <v>34</v>
      </c>
      <c r="C33" s="27">
        <v>0.28</v>
      </c>
    </row>
    <row r="34" ht="14.25" customHeight="1">
      <c r="B34" s="14" t="s">
        <v>35</v>
      </c>
      <c r="C34" s="27">
        <v>0.05</v>
      </c>
    </row>
    <row r="35" ht="14.25" customHeight="1"/>
    <row r="36" ht="14.25" customHeight="1">
      <c r="B36" s="3" t="s">
        <v>36</v>
      </c>
      <c r="C36" s="4"/>
      <c r="D36" s="4"/>
      <c r="E36" s="4"/>
      <c r="F36" s="4"/>
      <c r="G36" s="4"/>
      <c r="H36" s="4"/>
      <c r="I36" s="4"/>
      <c r="J36" s="4"/>
    </row>
    <row r="37" ht="14.25" customHeight="1">
      <c r="B37" s="25"/>
      <c r="C37" s="9" t="s">
        <v>7</v>
      </c>
      <c r="D37" s="9" t="s">
        <v>8</v>
      </c>
      <c r="E37" s="9" t="s">
        <v>9</v>
      </c>
    </row>
    <row r="38" ht="14.25" customHeight="1">
      <c r="B38" s="10" t="s">
        <v>37</v>
      </c>
      <c r="C38" s="12">
        <v>1000000.0</v>
      </c>
      <c r="D38" s="12">
        <v>1000000.0</v>
      </c>
      <c r="E38" s="12">
        <v>1500000.0</v>
      </c>
    </row>
    <row r="39" ht="14.25" customHeight="1">
      <c r="B39" s="14" t="s">
        <v>38</v>
      </c>
      <c r="C39" s="12">
        <v>70000.0</v>
      </c>
      <c r="D39" s="12">
        <v>90000.0</v>
      </c>
      <c r="E39" s="12">
        <v>130000.0</v>
      </c>
    </row>
    <row r="40" ht="14.25" customHeight="1">
      <c r="B40" s="14" t="s">
        <v>39</v>
      </c>
      <c r="C40" s="27">
        <v>0.1</v>
      </c>
    </row>
    <row r="41" ht="14.25" customHeight="1"/>
    <row r="42" ht="14.25" customHeight="1">
      <c r="B42" s="3" t="s">
        <v>40</v>
      </c>
      <c r="C42" s="4"/>
      <c r="D42" s="4"/>
      <c r="E42" s="4"/>
      <c r="F42" s="4"/>
      <c r="G42" s="4"/>
      <c r="H42" s="4"/>
      <c r="I42" s="4"/>
      <c r="J42" s="4"/>
    </row>
    <row r="43" ht="14.25" customHeight="1">
      <c r="B43" s="14" t="s">
        <v>41</v>
      </c>
      <c r="C43" s="27">
        <v>0.15</v>
      </c>
    </row>
    <row r="44" ht="14.25" customHeight="1">
      <c r="B44" s="14" t="s">
        <v>42</v>
      </c>
      <c r="C44" s="27">
        <v>0.07</v>
      </c>
    </row>
    <row r="45" ht="14.25" customHeight="1">
      <c r="B45" s="14" t="s">
        <v>43</v>
      </c>
      <c r="C45" s="12">
        <v>3.0</v>
      </c>
    </row>
    <row r="46" ht="14.25" customHeight="1">
      <c r="B46" s="14" t="s">
        <v>44</v>
      </c>
      <c r="C46" s="12">
        <v>36.0</v>
      </c>
    </row>
    <row r="47" ht="14.25" customHeight="1"/>
    <row r="48" ht="14.25" customHeight="1">
      <c r="B48" s="3" t="s">
        <v>45</v>
      </c>
      <c r="C48" s="4"/>
      <c r="D48" s="4"/>
      <c r="E48" s="4"/>
      <c r="F48" s="4"/>
      <c r="G48" s="4"/>
      <c r="H48" s="4"/>
      <c r="I48" s="4"/>
      <c r="J48" s="4"/>
    </row>
    <row r="49" ht="14.25" customHeight="1">
      <c r="B49" s="25"/>
      <c r="C49" s="9" t="s">
        <v>46</v>
      </c>
      <c r="D49" s="9" t="s">
        <v>47</v>
      </c>
      <c r="E49" s="9" t="s">
        <v>48</v>
      </c>
      <c r="G49" s="9" t="s">
        <v>46</v>
      </c>
      <c r="H49" s="9" t="s">
        <v>47</v>
      </c>
      <c r="I49" s="9" t="s">
        <v>48</v>
      </c>
    </row>
    <row r="50" ht="14.25" customHeight="1">
      <c r="B50" s="10"/>
      <c r="C50" s="28" t="s">
        <v>49</v>
      </c>
      <c r="D50" s="29"/>
      <c r="E50" s="30"/>
      <c r="G50" s="31" t="s">
        <v>50</v>
      </c>
      <c r="H50" s="29"/>
      <c r="I50" s="30"/>
    </row>
    <row r="51" ht="14.25" customHeight="1">
      <c r="B51" s="10" t="s">
        <v>7</v>
      </c>
      <c r="C51" s="15">
        <f>C29*$C$31*0.6*$C$30*(1-$C$33)-C32</f>
        <v>1314888</v>
      </c>
      <c r="D51" s="15">
        <f>C29*$C$31*0.7*$C$30*(1-$C$33)-C32</f>
        <v>1554036</v>
      </c>
      <c r="E51" s="15">
        <f>C29*$C$31*0.8*$C$30*(1-$C$33)-C32</f>
        <v>1793184</v>
      </c>
      <c r="G51" s="15">
        <f>C39*12*0.6*(1-$C$40)-C32</f>
        <v>333600</v>
      </c>
      <c r="H51" s="15">
        <f>C39*12*0.7*(1-$C$40)-C32</f>
        <v>409200</v>
      </c>
      <c r="I51" s="15">
        <f>C39*12*0.8*(1-$C$40)-C32</f>
        <v>484800</v>
      </c>
    </row>
    <row r="52" ht="14.25" customHeight="1">
      <c r="B52" s="10" t="s">
        <v>8</v>
      </c>
      <c r="C52" s="15">
        <f>D29*$C$31*0.6*$C$30*(1-$C$33)-D32</f>
        <v>1519872</v>
      </c>
      <c r="D52" s="15">
        <f>D29*$C$31*0.7*$C$30*(1-$C$33)-D32</f>
        <v>1793184</v>
      </c>
      <c r="E52" s="15">
        <f>D29*$C$31*0.8*$C$30*(1-$C$33)-D32</f>
        <v>2066496</v>
      </c>
      <c r="G52" s="15">
        <f>D39*12*0.6*(1-$C$40)-D32</f>
        <v>463200</v>
      </c>
      <c r="H52" s="15">
        <f>D39*12*0.7*(1-$C$40)-D32</f>
        <v>560400</v>
      </c>
      <c r="I52" s="15">
        <f>D39*12*0.8*(1-$C$40)-D32</f>
        <v>657600</v>
      </c>
    </row>
    <row r="53" ht="14.25" customHeight="1">
      <c r="B53" s="10" t="s">
        <v>9</v>
      </c>
      <c r="C53" s="15">
        <f>E29*$C$31*0.6*$C$30*(1-$C$33)-E32</f>
        <v>1869840</v>
      </c>
      <c r="D53" s="15">
        <f>E29*$C$31*0.7*$C$30*(1-$C$33)-E32</f>
        <v>2211480</v>
      </c>
      <c r="E53" s="15">
        <f>E29*$C$31*0.8*$C$30*(1-$C$33)-E32</f>
        <v>2553120</v>
      </c>
      <c r="G53" s="15">
        <f>E39*12*0.6*(1-$C$40)-E32</f>
        <v>662400</v>
      </c>
      <c r="H53" s="15">
        <f>E39*12*0.7*(1-$C$40)-E32</f>
        <v>802800</v>
      </c>
      <c r="I53" s="15">
        <f>E39*12*0.8*(1-$C$40)-E32</f>
        <v>943200</v>
      </c>
    </row>
    <row r="54" ht="14.25" customHeight="1">
      <c r="B54" s="8" t="s">
        <v>51</v>
      </c>
      <c r="C54" s="32">
        <f t="shared" ref="C54:E54" si="2">C51*$C$8+C52*$D$8+C53*$E$8</f>
        <v>9059232</v>
      </c>
      <c r="D54" s="32">
        <f t="shared" si="2"/>
        <v>10699104</v>
      </c>
      <c r="E54" s="32">
        <f t="shared" si="2"/>
        <v>12338976</v>
      </c>
      <c r="G54" s="32">
        <f t="shared" ref="G54:I54" si="3">G51*$C$8+G52*$D$8+G53*$E$8</f>
        <v>2719200</v>
      </c>
      <c r="H54" s="32">
        <f t="shared" si="3"/>
        <v>3302400</v>
      </c>
      <c r="I54" s="32">
        <f t="shared" si="3"/>
        <v>3885600</v>
      </c>
    </row>
    <row r="55" ht="14.25" customHeight="1">
      <c r="B55" s="20" t="s">
        <v>52</v>
      </c>
      <c r="C55" s="33">
        <f t="shared" ref="C55:E55" si="4">C54*((1+$C$34)^$C$45-1)/$C$34</f>
        <v>28559228.88</v>
      </c>
      <c r="D55" s="33">
        <f t="shared" si="4"/>
        <v>33728925.36</v>
      </c>
      <c r="E55" s="33">
        <f t="shared" si="4"/>
        <v>38898621.84</v>
      </c>
      <c r="G55" s="33">
        <f t="shared" ref="G55:I55" si="5">G54*((1+$C$34)^$C$45-1)/$C$34</f>
        <v>8572278</v>
      </c>
      <c r="H55" s="33">
        <f t="shared" si="5"/>
        <v>10410816</v>
      </c>
      <c r="I55" s="33">
        <f t="shared" si="5"/>
        <v>12249354</v>
      </c>
    </row>
    <row r="56" ht="14.25" customHeight="1">
      <c r="B56" s="20" t="s">
        <v>53</v>
      </c>
      <c r="C56" s="33">
        <f t="shared" ref="C56:E56" si="6">-($C$38*$C$8+$D$38*$D$8+$E$38*$E$8)</f>
        <v>-6500000</v>
      </c>
      <c r="D56" s="33">
        <f t="shared" si="6"/>
        <v>-6500000</v>
      </c>
      <c r="E56" s="33">
        <f t="shared" si="6"/>
        <v>-6500000</v>
      </c>
      <c r="G56" s="33">
        <v>0.0</v>
      </c>
      <c r="H56" s="33">
        <v>0.0</v>
      </c>
      <c r="I56" s="33">
        <v>0.0</v>
      </c>
    </row>
    <row r="57" ht="14.25" customHeight="1">
      <c r="B57" s="23" t="s">
        <v>54</v>
      </c>
      <c r="C57" s="34">
        <f t="shared" ref="C57:E57" si="7">C55+C56</f>
        <v>22059228.88</v>
      </c>
      <c r="D57" s="34">
        <f t="shared" si="7"/>
        <v>27228925.36</v>
      </c>
      <c r="E57" s="34">
        <f t="shared" si="7"/>
        <v>32398621.84</v>
      </c>
      <c r="G57" s="34">
        <f t="shared" ref="G57:I57" si="8">G55+G56</f>
        <v>8572278</v>
      </c>
      <c r="H57" s="34">
        <f t="shared" si="8"/>
        <v>10410816</v>
      </c>
      <c r="I57" s="34">
        <f t="shared" si="8"/>
        <v>12249354</v>
      </c>
    </row>
    <row r="58" ht="14.25" customHeight="1"/>
    <row r="59" ht="14.25" customHeight="1">
      <c r="B59" s="3" t="s">
        <v>55</v>
      </c>
      <c r="C59" s="4"/>
      <c r="D59" s="4"/>
      <c r="E59" s="4"/>
      <c r="F59" s="4"/>
      <c r="G59" s="4"/>
      <c r="H59" s="4"/>
      <c r="I59" s="4"/>
      <c r="J59" s="4"/>
    </row>
    <row r="60" ht="14.25" customHeight="1">
      <c r="B60" s="14" t="s">
        <v>26</v>
      </c>
      <c r="C60" s="22">
        <f>C22</f>
        <v>11920000</v>
      </c>
    </row>
    <row r="61" ht="14.25" customHeight="1">
      <c r="B61" s="14" t="s">
        <v>56</v>
      </c>
      <c r="C61" s="22">
        <f>C19*C43</f>
        <v>8940000</v>
      </c>
    </row>
    <row r="62" ht="14.25" customHeight="1">
      <c r="B62" s="14" t="s">
        <v>57</v>
      </c>
      <c r="C62" s="22">
        <f>C19*(1+C43)*((1+C44)^C45-1)</f>
        <v>15424447.22</v>
      </c>
    </row>
    <row r="63" ht="14.25" customHeight="1">
      <c r="B63" s="20" t="s">
        <v>58</v>
      </c>
      <c r="C63" s="21">
        <f>-C24</f>
        <v>-2384000</v>
      </c>
    </row>
    <row r="64" ht="14.25" customHeight="1">
      <c r="B64" s="23" t="s">
        <v>59</v>
      </c>
      <c r="C64" s="35">
        <f>C60+C61+C62+C63</f>
        <v>33900447.22</v>
      </c>
    </row>
    <row r="65" ht="14.25" customHeight="1"/>
    <row r="66" ht="14.25" customHeight="1">
      <c r="B66" s="20" t="s">
        <v>60</v>
      </c>
      <c r="C66" s="21">
        <f>C19*(1+C43)*(1+C44)^C45</f>
        <v>83964447.22</v>
      </c>
    </row>
    <row r="67" ht="14.25" customHeight="1"/>
    <row r="68" ht="14.25" customHeight="1">
      <c r="B68" s="3" t="s">
        <v>61</v>
      </c>
      <c r="C68" s="4"/>
      <c r="D68" s="4"/>
      <c r="E68" s="4"/>
      <c r="F68" s="4"/>
      <c r="G68" s="4"/>
      <c r="H68" s="4"/>
      <c r="I68" s="4"/>
      <c r="J68" s="4"/>
    </row>
    <row r="69" ht="14.25" customHeight="1">
      <c r="B69" s="25"/>
      <c r="C69" s="28" t="s">
        <v>62</v>
      </c>
      <c r="D69" s="29"/>
      <c r="E69" s="30"/>
      <c r="G69" s="31" t="s">
        <v>63</v>
      </c>
      <c r="H69" s="29"/>
      <c r="I69" s="30"/>
    </row>
    <row r="70" ht="14.25" customHeight="1">
      <c r="B70" s="25"/>
      <c r="C70" s="36" t="s">
        <v>46</v>
      </c>
      <c r="D70" s="36" t="s">
        <v>47</v>
      </c>
      <c r="E70" s="36" t="s">
        <v>48</v>
      </c>
      <c r="G70" s="37" t="s">
        <v>46</v>
      </c>
      <c r="H70" s="37" t="s">
        <v>47</v>
      </c>
      <c r="I70" s="37" t="s">
        <v>48</v>
      </c>
    </row>
    <row r="71" ht="14.25" customHeight="1">
      <c r="B71" s="10" t="s">
        <v>64</v>
      </c>
      <c r="C71" s="15">
        <f t="shared" ref="C71:E71" si="9">$C$25</f>
        <v>50064000</v>
      </c>
      <c r="D71" s="15">
        <f t="shared" si="9"/>
        <v>50064000</v>
      </c>
      <c r="E71" s="15">
        <f t="shared" si="9"/>
        <v>50064000</v>
      </c>
      <c r="G71" s="15">
        <f t="shared" ref="G71:I71" si="10">$C$25</f>
        <v>50064000</v>
      </c>
      <c r="H71" s="15">
        <f t="shared" si="10"/>
        <v>50064000</v>
      </c>
      <c r="I71" s="15">
        <f t="shared" si="10"/>
        <v>50064000</v>
      </c>
    </row>
    <row r="72" ht="14.25" customHeight="1">
      <c r="B72" s="14" t="s">
        <v>65</v>
      </c>
      <c r="C72" s="15">
        <f t="shared" ref="C72:E72" si="11">$C$60+$C$61</f>
        <v>20860000</v>
      </c>
      <c r="D72" s="15">
        <f t="shared" si="11"/>
        <v>20860000</v>
      </c>
      <c r="E72" s="15">
        <f t="shared" si="11"/>
        <v>20860000</v>
      </c>
      <c r="G72" s="15">
        <f t="shared" ref="G72:I72" si="12">$C$60+$C$61</f>
        <v>20860000</v>
      </c>
      <c r="H72" s="15">
        <f t="shared" si="12"/>
        <v>20860000</v>
      </c>
      <c r="I72" s="15">
        <f t="shared" si="12"/>
        <v>20860000</v>
      </c>
    </row>
    <row r="73" ht="14.25" customHeight="1">
      <c r="B73" s="14" t="s">
        <v>66</v>
      </c>
      <c r="C73" s="15">
        <f t="shared" ref="C73:E73" si="13">$C$62</f>
        <v>15424447.22</v>
      </c>
      <c r="D73" s="15">
        <f t="shared" si="13"/>
        <v>15424447.22</v>
      </c>
      <c r="E73" s="15">
        <f t="shared" si="13"/>
        <v>15424447.22</v>
      </c>
      <c r="G73" s="15">
        <f t="shared" ref="G73:I73" si="14">$C$62</f>
        <v>15424447.22</v>
      </c>
      <c r="H73" s="15">
        <f t="shared" si="14"/>
        <v>15424447.22</v>
      </c>
      <c r="I73" s="15">
        <f t="shared" si="14"/>
        <v>15424447.22</v>
      </c>
    </row>
    <row r="74" ht="14.25" customHeight="1">
      <c r="B74" s="14" t="s">
        <v>67</v>
      </c>
      <c r="C74" s="15">
        <f t="shared" ref="C74:E74" si="15">C57</f>
        <v>22059228.88</v>
      </c>
      <c r="D74" s="15">
        <f t="shared" si="15"/>
        <v>27228925.36</v>
      </c>
      <c r="E74" s="15">
        <f t="shared" si="15"/>
        <v>32398621.84</v>
      </c>
      <c r="G74" s="15">
        <f t="shared" ref="G74:I74" si="16">G57</f>
        <v>8572278</v>
      </c>
      <c r="H74" s="15">
        <f t="shared" si="16"/>
        <v>10410816</v>
      </c>
      <c r="I74" s="15">
        <f t="shared" si="16"/>
        <v>12249354</v>
      </c>
    </row>
    <row r="75" ht="14.25" customHeight="1">
      <c r="B75" s="23" t="s">
        <v>68</v>
      </c>
      <c r="C75" s="34">
        <f t="shared" ref="C75:E75" si="17">$C$66+C57</f>
        <v>106023676.1</v>
      </c>
      <c r="D75" s="34">
        <f t="shared" si="17"/>
        <v>111193372.6</v>
      </c>
      <c r="E75" s="34">
        <f t="shared" si="17"/>
        <v>116363069.1</v>
      </c>
      <c r="G75" s="34">
        <f t="shared" ref="G75:I75" si="18">$C$66+G57</f>
        <v>92536725.22</v>
      </c>
      <c r="H75" s="34">
        <f t="shared" si="18"/>
        <v>94375263.22</v>
      </c>
      <c r="I75" s="34">
        <f t="shared" si="18"/>
        <v>96213801.22</v>
      </c>
    </row>
    <row r="76" ht="14.25" customHeight="1">
      <c r="B76" s="23" t="s">
        <v>69</v>
      </c>
      <c r="C76" s="34">
        <f t="shared" ref="C76:E76" si="19">C75-$C$25</f>
        <v>55959676.1</v>
      </c>
      <c r="D76" s="34">
        <f t="shared" si="19"/>
        <v>61129372.58</v>
      </c>
      <c r="E76" s="34">
        <f t="shared" si="19"/>
        <v>66299069.06</v>
      </c>
      <c r="G76" s="34">
        <f t="shared" ref="G76:I76" si="20">G75-$C$25</f>
        <v>42472725.22</v>
      </c>
      <c r="H76" s="34">
        <f t="shared" si="20"/>
        <v>44311263.22</v>
      </c>
      <c r="I76" s="34">
        <f t="shared" si="20"/>
        <v>46149801.22</v>
      </c>
    </row>
    <row r="77" ht="14.25" customHeight="1">
      <c r="B77" s="10" t="s">
        <v>70</v>
      </c>
      <c r="C77" s="38">
        <f t="shared" ref="C77:E77" si="21">C75/$C$25</f>
        <v>2.117762786</v>
      </c>
      <c r="D77" s="38">
        <f t="shared" si="21"/>
        <v>2.22102454</v>
      </c>
      <c r="E77" s="38">
        <f t="shared" si="21"/>
        <v>2.324286295</v>
      </c>
      <c r="G77" s="38">
        <f t="shared" ref="G77:I77" si="22">G75/$C$25</f>
        <v>1.848368593</v>
      </c>
      <c r="H77" s="38">
        <f t="shared" si="22"/>
        <v>1.885092346</v>
      </c>
      <c r="I77" s="38">
        <f t="shared" si="22"/>
        <v>1.9218161</v>
      </c>
    </row>
    <row r="78" ht="14.25" customHeight="1">
      <c r="B78" s="23" t="s">
        <v>71</v>
      </c>
      <c r="C78" s="39">
        <f t="shared" ref="C78:E78" si="23">(C75/$C$25)^(1/((72-3)/12))-1</f>
        <v>0.1393950154</v>
      </c>
      <c r="D78" s="39">
        <f t="shared" si="23"/>
        <v>0.1488680425</v>
      </c>
      <c r="E78" s="39">
        <f t="shared" si="23"/>
        <v>0.1579839576</v>
      </c>
      <c r="G78" s="39">
        <f t="shared" ref="G78:I78" si="24">(G75/$C$25)^(1/((72-3)/12))-1</f>
        <v>0.1127510531</v>
      </c>
      <c r="H78" s="39">
        <f t="shared" si="24"/>
        <v>0.1165648082</v>
      </c>
      <c r="I78" s="39">
        <f t="shared" si="24"/>
        <v>0.1203176739</v>
      </c>
    </row>
    <row r="79" ht="14.25" customHeight="1"/>
    <row r="80" ht="14.25" customHeight="1">
      <c r="B80" s="40" t="s">
        <v>72</v>
      </c>
    </row>
    <row r="81" ht="14.25" customHeight="1">
      <c r="B81" s="5" t="s">
        <v>73</v>
      </c>
    </row>
    <row r="82" ht="14.25" customHeight="1">
      <c r="B82" s="5" t="s">
        <v>74</v>
      </c>
    </row>
    <row r="83" ht="14.25" customHeight="1">
      <c r="B83" s="5" t="s">
        <v>75</v>
      </c>
    </row>
    <row r="84" ht="14.25" customHeight="1">
      <c r="B84" s="5" t="s">
        <v>76</v>
      </c>
    </row>
    <row r="85" ht="14.25" customHeight="1">
      <c r="B85" s="5" t="s">
        <v>77</v>
      </c>
    </row>
    <row r="86" ht="14.25" customHeight="1">
      <c r="B86" s="5" t="s">
        <v>78</v>
      </c>
    </row>
    <row r="87" ht="14.25" customHeight="1">
      <c r="B87" s="5" t="s">
        <v>79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50:E50"/>
    <mergeCell ref="G50:I50"/>
    <mergeCell ref="C69:E69"/>
    <mergeCell ref="G69:I6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79.29"/>
    <col customWidth="1" min="3" max="10" width="14.0"/>
    <col customWidth="1" min="11" max="26" width="8.71"/>
  </cols>
  <sheetData>
    <row r="1" ht="14.25" customHeight="1"/>
    <row r="2" ht="30.0" customHeight="1">
      <c r="B2" s="1" t="s">
        <v>0</v>
      </c>
    </row>
    <row r="3" ht="14.25" customHeight="1">
      <c r="B3" s="2" t="s">
        <v>1</v>
      </c>
    </row>
    <row r="4" ht="14.25" customHeight="1"/>
    <row r="5" ht="14.25" customHeight="1">
      <c r="B5" s="3" t="s">
        <v>2</v>
      </c>
      <c r="C5" s="4"/>
      <c r="D5" s="4"/>
      <c r="E5" s="4"/>
      <c r="F5" s="4"/>
      <c r="G5" s="4"/>
      <c r="H5" s="4"/>
      <c r="I5" s="4"/>
      <c r="J5" s="4"/>
    </row>
    <row r="6" ht="14.25" customHeight="1">
      <c r="B6" s="5" t="s">
        <v>3</v>
      </c>
      <c r="C6" s="6" t="s">
        <v>4</v>
      </c>
      <c r="D6" s="7" t="s">
        <v>5</v>
      </c>
    </row>
    <row r="7" ht="19.5" customHeight="1">
      <c r="B7" s="8" t="s">
        <v>6</v>
      </c>
      <c r="C7" s="9" t="s">
        <v>7</v>
      </c>
      <c r="D7" s="9" t="s">
        <v>8</v>
      </c>
      <c r="E7" s="9" t="s">
        <v>9</v>
      </c>
      <c r="G7" s="9" t="s">
        <v>10</v>
      </c>
    </row>
    <row r="8" ht="14.25" customHeight="1">
      <c r="B8" s="10" t="s">
        <v>11</v>
      </c>
      <c r="C8" s="11">
        <v>6.0</v>
      </c>
      <c r="D8" s="11">
        <v>2.0</v>
      </c>
      <c r="E8" s="11">
        <v>3.0</v>
      </c>
      <c r="G8" s="13">
        <f>C8+D8+E8</f>
        <v>11</v>
      </c>
    </row>
    <row r="9" ht="14.25" customHeight="1">
      <c r="B9" s="14" t="s">
        <v>12</v>
      </c>
      <c r="C9" s="15">
        <v>7000000.0</v>
      </c>
      <c r="D9" s="15">
        <v>1.02E7</v>
      </c>
      <c r="E9" s="15">
        <v>1.5E7</v>
      </c>
    </row>
    <row r="10" ht="14.25" customHeight="1">
      <c r="B10" s="14" t="s">
        <v>13</v>
      </c>
      <c r="C10" s="15">
        <f t="shared" ref="C10:E10" si="1">C8*C9</f>
        <v>42000000</v>
      </c>
      <c r="D10" s="15">
        <f t="shared" si="1"/>
        <v>20400000</v>
      </c>
      <c r="E10" s="15">
        <f t="shared" si="1"/>
        <v>45000000</v>
      </c>
      <c r="G10" s="13">
        <f>C10+D10+E10</f>
        <v>107400000</v>
      </c>
    </row>
    <row r="11" ht="14.25" customHeight="1"/>
    <row r="12" ht="14.25" customHeight="1">
      <c r="B12" s="3" t="s">
        <v>14</v>
      </c>
      <c r="C12" s="4"/>
      <c r="D12" s="4"/>
      <c r="E12" s="4"/>
      <c r="F12" s="4"/>
      <c r="G12" s="4"/>
      <c r="H12" s="4"/>
      <c r="I12" s="4"/>
      <c r="J12" s="4"/>
    </row>
    <row r="13" ht="14.25" customHeight="1">
      <c r="B13" s="8" t="s">
        <v>15</v>
      </c>
      <c r="C13" s="9" t="s">
        <v>16</v>
      </c>
      <c r="D13" s="9" t="s">
        <v>17</v>
      </c>
      <c r="E13" s="9" t="s">
        <v>18</v>
      </c>
    </row>
    <row r="14" ht="14.25" customHeight="1">
      <c r="B14" s="14" t="s">
        <v>19</v>
      </c>
      <c r="C14" s="15">
        <v>3.0E7</v>
      </c>
      <c r="D14" s="15">
        <v>4.0E7</v>
      </c>
      <c r="E14" s="16">
        <v>0.1</v>
      </c>
    </row>
    <row r="15" ht="14.25" customHeight="1">
      <c r="B15" s="14" t="s">
        <v>20</v>
      </c>
      <c r="C15" s="15">
        <v>4.0E7</v>
      </c>
      <c r="D15" s="15">
        <v>5.0E7</v>
      </c>
      <c r="E15" s="16">
        <v>0.15</v>
      </c>
    </row>
    <row r="16" ht="14.25" customHeight="1">
      <c r="B16" s="14" t="s">
        <v>21</v>
      </c>
      <c r="C16" s="15">
        <v>5.0E7</v>
      </c>
      <c r="D16" s="15">
        <v>1.0E8</v>
      </c>
      <c r="E16" s="16">
        <v>0.2</v>
      </c>
    </row>
    <row r="17" ht="14.25" customHeight="1">
      <c r="B17" s="14" t="s">
        <v>22</v>
      </c>
      <c r="C17" s="15">
        <v>1.0E8</v>
      </c>
      <c r="D17" s="15">
        <v>9.99999999E8</v>
      </c>
      <c r="E17" s="16">
        <v>0.25</v>
      </c>
    </row>
    <row r="18" ht="14.25" customHeight="1"/>
    <row r="19" ht="14.25" customHeight="1">
      <c r="B19" s="10" t="s">
        <v>23</v>
      </c>
      <c r="C19" s="17">
        <f>G10</f>
        <v>107400000</v>
      </c>
    </row>
    <row r="20" ht="14.25" customHeight="1">
      <c r="B20" s="10" t="s">
        <v>24</v>
      </c>
      <c r="C20" s="18">
        <f>IF(C19&lt;C14,0,IF(C19&lt;C15,E14,IF(C19&lt;C16,E15,IF(C19&lt;C17,E16,E17))))</f>
        <v>0.25</v>
      </c>
    </row>
    <row r="21" ht="14.25" customHeight="1">
      <c r="B21" s="10" t="s">
        <v>25</v>
      </c>
      <c r="C21" s="19">
        <f>C19*(1-C20)</f>
        <v>80550000</v>
      </c>
    </row>
    <row r="22" ht="14.25" customHeight="1">
      <c r="B22" s="20" t="s">
        <v>26</v>
      </c>
      <c r="C22" s="21">
        <f>C19-C21</f>
        <v>26850000</v>
      </c>
    </row>
    <row r="23" ht="14.25" customHeight="1"/>
    <row r="24" ht="14.25" customHeight="1">
      <c r="B24" s="14" t="s">
        <v>27</v>
      </c>
      <c r="C24" s="22">
        <f>C21*0.05</f>
        <v>4027500</v>
      </c>
    </row>
    <row r="25" ht="14.25" customHeight="1">
      <c r="B25" s="23" t="s">
        <v>28</v>
      </c>
      <c r="C25" s="24">
        <f>C21+C24</f>
        <v>84577500</v>
      </c>
    </row>
    <row r="26" ht="14.25" customHeight="1"/>
    <row r="27" ht="14.25" customHeight="1">
      <c r="B27" s="3" t="s">
        <v>29</v>
      </c>
      <c r="C27" s="4"/>
      <c r="D27" s="4"/>
      <c r="E27" s="4"/>
      <c r="F27" s="4"/>
      <c r="G27" s="4"/>
      <c r="H27" s="4"/>
      <c r="I27" s="4"/>
      <c r="J27" s="4"/>
    </row>
    <row r="28" ht="14.25" customHeight="1">
      <c r="B28" s="25"/>
      <c r="C28" s="9" t="s">
        <v>7</v>
      </c>
      <c r="D28" s="9" t="s">
        <v>8</v>
      </c>
      <c r="E28" s="9" t="s">
        <v>9</v>
      </c>
    </row>
    <row r="29" ht="14.25" customHeight="1">
      <c r="B29" s="14" t="s">
        <v>30</v>
      </c>
      <c r="C29" s="26">
        <v>70.0</v>
      </c>
      <c r="D29" s="26">
        <v>80.0</v>
      </c>
      <c r="E29" s="26">
        <v>100.0</v>
      </c>
    </row>
    <row r="30" ht="14.25" customHeight="1">
      <c r="B30" s="10" t="s">
        <v>31</v>
      </c>
      <c r="C30" s="12">
        <v>130.0</v>
      </c>
    </row>
    <row r="31" ht="14.25" customHeight="1">
      <c r="B31" s="14" t="s">
        <v>32</v>
      </c>
      <c r="C31" s="15">
        <v>365.0</v>
      </c>
    </row>
    <row r="32" ht="14.25" customHeight="1">
      <c r="B32" s="14" t="s">
        <v>33</v>
      </c>
      <c r="C32" s="12">
        <v>120000.0</v>
      </c>
      <c r="D32" s="12">
        <v>120000.0</v>
      </c>
      <c r="E32" s="12">
        <v>180000.0</v>
      </c>
    </row>
    <row r="33" ht="14.25" customHeight="1">
      <c r="B33" s="10" t="s">
        <v>34</v>
      </c>
      <c r="C33" s="27">
        <v>0.28</v>
      </c>
    </row>
    <row r="34" ht="14.25" customHeight="1">
      <c r="B34" s="14" t="s">
        <v>35</v>
      </c>
      <c r="C34" s="27">
        <v>0.05</v>
      </c>
    </row>
    <row r="35" ht="14.25" customHeight="1"/>
    <row r="36" ht="14.25" customHeight="1">
      <c r="B36" s="3" t="s">
        <v>36</v>
      </c>
      <c r="C36" s="4"/>
      <c r="D36" s="4"/>
      <c r="E36" s="4"/>
      <c r="F36" s="4"/>
      <c r="G36" s="4"/>
      <c r="H36" s="4"/>
      <c r="I36" s="4"/>
      <c r="J36" s="4"/>
    </row>
    <row r="37" ht="14.25" customHeight="1">
      <c r="B37" s="25"/>
      <c r="C37" s="9" t="s">
        <v>7</v>
      </c>
      <c r="D37" s="9" t="s">
        <v>8</v>
      </c>
      <c r="E37" s="9" t="s">
        <v>9</v>
      </c>
    </row>
    <row r="38" ht="14.25" customHeight="1">
      <c r="B38" s="10" t="s">
        <v>37</v>
      </c>
      <c r="C38" s="12">
        <v>1000000.0</v>
      </c>
      <c r="D38" s="12">
        <v>1000000.0</v>
      </c>
      <c r="E38" s="12">
        <v>1500000.0</v>
      </c>
    </row>
    <row r="39" ht="14.25" customHeight="1">
      <c r="B39" s="14" t="s">
        <v>38</v>
      </c>
      <c r="C39" s="12">
        <v>70000.0</v>
      </c>
      <c r="D39" s="12">
        <v>90000.0</v>
      </c>
      <c r="E39" s="12">
        <v>130000.0</v>
      </c>
    </row>
    <row r="40" ht="14.25" customHeight="1">
      <c r="B40" s="14" t="s">
        <v>39</v>
      </c>
      <c r="C40" s="27">
        <v>0.1</v>
      </c>
    </row>
    <row r="41" ht="14.25" customHeight="1"/>
    <row r="42" ht="14.25" customHeight="1">
      <c r="B42" s="3" t="s">
        <v>40</v>
      </c>
      <c r="C42" s="4"/>
      <c r="D42" s="4"/>
      <c r="E42" s="4"/>
      <c r="F42" s="4"/>
      <c r="G42" s="4"/>
      <c r="H42" s="4"/>
      <c r="I42" s="4"/>
      <c r="J42" s="4"/>
    </row>
    <row r="43" ht="14.25" customHeight="1">
      <c r="B43" s="14" t="s">
        <v>41</v>
      </c>
      <c r="C43" s="27">
        <v>0.15</v>
      </c>
    </row>
    <row r="44" ht="14.25" customHeight="1">
      <c r="B44" s="14" t="s">
        <v>42</v>
      </c>
      <c r="C44" s="27">
        <v>0.07</v>
      </c>
    </row>
    <row r="45" ht="14.25" customHeight="1">
      <c r="B45" s="14" t="s">
        <v>43</v>
      </c>
      <c r="C45" s="12">
        <v>3.0</v>
      </c>
    </row>
    <row r="46" ht="14.25" customHeight="1">
      <c r="B46" s="14" t="s">
        <v>44</v>
      </c>
      <c r="C46" s="12">
        <v>36.0</v>
      </c>
    </row>
    <row r="47" ht="14.25" customHeight="1"/>
    <row r="48" ht="14.25" customHeight="1">
      <c r="B48" s="3" t="s">
        <v>45</v>
      </c>
      <c r="C48" s="4"/>
      <c r="D48" s="4"/>
      <c r="E48" s="4"/>
      <c r="F48" s="4"/>
      <c r="G48" s="4"/>
      <c r="H48" s="4"/>
      <c r="I48" s="4"/>
      <c r="J48" s="4"/>
    </row>
    <row r="49" ht="14.25" customHeight="1">
      <c r="B49" s="25"/>
      <c r="C49" s="9" t="s">
        <v>46</v>
      </c>
      <c r="D49" s="9" t="s">
        <v>47</v>
      </c>
      <c r="E49" s="9" t="s">
        <v>48</v>
      </c>
      <c r="G49" s="9" t="s">
        <v>46</v>
      </c>
      <c r="H49" s="9" t="s">
        <v>47</v>
      </c>
      <c r="I49" s="9" t="s">
        <v>48</v>
      </c>
    </row>
    <row r="50" ht="14.25" customHeight="1">
      <c r="B50" s="10"/>
      <c r="C50" s="28" t="s">
        <v>49</v>
      </c>
      <c r="D50" s="29"/>
      <c r="E50" s="30"/>
      <c r="G50" s="31" t="s">
        <v>50</v>
      </c>
      <c r="H50" s="29"/>
      <c r="I50" s="30"/>
    </row>
    <row r="51" ht="14.25" customHeight="1">
      <c r="B51" s="10" t="s">
        <v>7</v>
      </c>
      <c r="C51" s="15">
        <f>C29*$C$31*0.6*$C$30*(1-$C$33)-C32</f>
        <v>1314888</v>
      </c>
      <c r="D51" s="15">
        <f>C29*$C$31*0.7*$C$30*(1-$C$33)-C32</f>
        <v>1554036</v>
      </c>
      <c r="E51" s="15">
        <f>C29*$C$31*0.8*$C$30*(1-$C$33)-C32</f>
        <v>1793184</v>
      </c>
      <c r="G51" s="15">
        <f>C39*12*0.6*(1-$C$40)-C32</f>
        <v>333600</v>
      </c>
      <c r="H51" s="15">
        <f>C39*12*0.7*(1-$C$40)-C32</f>
        <v>409200</v>
      </c>
      <c r="I51" s="15">
        <f>C39*12*0.8*(1-$C$40)-C32</f>
        <v>484800</v>
      </c>
    </row>
    <row r="52" ht="14.25" customHeight="1">
      <c r="B52" s="10" t="s">
        <v>8</v>
      </c>
      <c r="C52" s="15">
        <f>D29*$C$31*0.6*$C$30*(1-$C$33)-D32</f>
        <v>1519872</v>
      </c>
      <c r="D52" s="15">
        <f>D29*$C$31*0.7*$C$30*(1-$C$33)-D32</f>
        <v>1793184</v>
      </c>
      <c r="E52" s="15">
        <f>D29*$C$31*0.8*$C$30*(1-$C$33)-D32</f>
        <v>2066496</v>
      </c>
      <c r="G52" s="15">
        <f>D39*12*0.6*(1-$C$40)-D32</f>
        <v>463200</v>
      </c>
      <c r="H52" s="15">
        <f>D39*12*0.7*(1-$C$40)-D32</f>
        <v>560400</v>
      </c>
      <c r="I52" s="15">
        <f>D39*12*0.8*(1-$C$40)-D32</f>
        <v>657600</v>
      </c>
    </row>
    <row r="53" ht="14.25" customHeight="1">
      <c r="B53" s="10" t="s">
        <v>9</v>
      </c>
      <c r="C53" s="15">
        <f>E29*$C$31*0.6*$C$30*(1-$C$33)-E32</f>
        <v>1869840</v>
      </c>
      <c r="D53" s="15">
        <f>E29*$C$31*0.7*$C$30*(1-$C$33)-E32</f>
        <v>2211480</v>
      </c>
      <c r="E53" s="15">
        <f>E29*$C$31*0.8*$C$30*(1-$C$33)-E32</f>
        <v>2553120</v>
      </c>
      <c r="G53" s="15">
        <f>E39*12*0.6*(1-$C$40)-E32</f>
        <v>662400</v>
      </c>
      <c r="H53" s="15">
        <f>E39*12*0.7*(1-$C$40)-E32</f>
        <v>802800</v>
      </c>
      <c r="I53" s="15">
        <f>E39*12*0.8*(1-$C$40)-E32</f>
        <v>943200</v>
      </c>
    </row>
    <row r="54" ht="14.25" customHeight="1">
      <c r="B54" s="8" t="s">
        <v>51</v>
      </c>
      <c r="C54" s="32">
        <f t="shared" ref="C54:E54" si="2">C51*$C$8+C52*$D$8+C53*$E$8</f>
        <v>16538592</v>
      </c>
      <c r="D54" s="32">
        <f t="shared" si="2"/>
        <v>19545024</v>
      </c>
      <c r="E54" s="32">
        <f t="shared" si="2"/>
        <v>22551456</v>
      </c>
      <c r="G54" s="32">
        <f t="shared" ref="G54:I54" si="3">G51*$C$8+G52*$D$8+G53*$E$8</f>
        <v>4915200</v>
      </c>
      <c r="H54" s="32">
        <f t="shared" si="3"/>
        <v>5984400</v>
      </c>
      <c r="I54" s="32">
        <f t="shared" si="3"/>
        <v>7053600</v>
      </c>
    </row>
    <row r="55" ht="14.25" customHeight="1">
      <c r="B55" s="20" t="s">
        <v>52</v>
      </c>
      <c r="C55" s="33">
        <f t="shared" ref="C55:E55" si="4">C54*((1+$C$34)^$C$45-1)/$C$34</f>
        <v>52137911.28</v>
      </c>
      <c r="D55" s="33">
        <f t="shared" si="4"/>
        <v>61615688.16</v>
      </c>
      <c r="E55" s="33">
        <f t="shared" si="4"/>
        <v>71093465.04</v>
      </c>
      <c r="G55" s="33">
        <f t="shared" ref="G55:I55" si="5">G54*((1+$C$34)^$C$45-1)/$C$34</f>
        <v>15495168</v>
      </c>
      <c r="H55" s="33">
        <f t="shared" si="5"/>
        <v>18865821</v>
      </c>
      <c r="I55" s="33">
        <f t="shared" si="5"/>
        <v>22236474</v>
      </c>
    </row>
    <row r="56" ht="14.25" customHeight="1">
      <c r="B56" s="20" t="s">
        <v>53</v>
      </c>
      <c r="C56" s="33">
        <f t="shared" ref="C56:E56" si="6">-($C$38*$C$8+$D$38*$D$8+$E$38*$E$8)</f>
        <v>-12500000</v>
      </c>
      <c r="D56" s="33">
        <f t="shared" si="6"/>
        <v>-12500000</v>
      </c>
      <c r="E56" s="33">
        <f t="shared" si="6"/>
        <v>-12500000</v>
      </c>
      <c r="G56" s="33">
        <v>0.0</v>
      </c>
      <c r="H56" s="33">
        <v>0.0</v>
      </c>
      <c r="I56" s="33">
        <v>0.0</v>
      </c>
    </row>
    <row r="57" ht="14.25" customHeight="1">
      <c r="B57" s="23" t="s">
        <v>54</v>
      </c>
      <c r="C57" s="34">
        <f t="shared" ref="C57:E57" si="7">C55+C56</f>
        <v>39637911.28</v>
      </c>
      <c r="D57" s="34">
        <f t="shared" si="7"/>
        <v>49115688.16</v>
      </c>
      <c r="E57" s="34">
        <f t="shared" si="7"/>
        <v>58593465.04</v>
      </c>
      <c r="G57" s="34">
        <f t="shared" ref="G57:I57" si="8">G55+G56</f>
        <v>15495168</v>
      </c>
      <c r="H57" s="34">
        <f t="shared" si="8"/>
        <v>18865821</v>
      </c>
      <c r="I57" s="34">
        <f t="shared" si="8"/>
        <v>22236474</v>
      </c>
    </row>
    <row r="58" ht="14.25" customHeight="1"/>
    <row r="59" ht="14.25" customHeight="1">
      <c r="B59" s="3" t="s">
        <v>55</v>
      </c>
      <c r="C59" s="4"/>
      <c r="D59" s="4"/>
      <c r="E59" s="4"/>
      <c r="F59" s="4"/>
      <c r="G59" s="4"/>
      <c r="H59" s="4"/>
      <c r="I59" s="4"/>
      <c r="J59" s="4"/>
    </row>
    <row r="60" ht="14.25" customHeight="1">
      <c r="B60" s="14" t="s">
        <v>26</v>
      </c>
      <c r="C60" s="22">
        <f>C22</f>
        <v>26850000</v>
      </c>
    </row>
    <row r="61" ht="14.25" customHeight="1">
      <c r="B61" s="14" t="s">
        <v>56</v>
      </c>
      <c r="C61" s="22">
        <f>C19*C43</f>
        <v>16110000</v>
      </c>
    </row>
    <row r="62" ht="14.25" customHeight="1">
      <c r="B62" s="14" t="s">
        <v>57</v>
      </c>
      <c r="C62" s="22">
        <f>C19*(1+C43)*((1+C44)^C45-1)</f>
        <v>27795060.93</v>
      </c>
    </row>
    <row r="63" ht="14.25" customHeight="1">
      <c r="B63" s="20" t="s">
        <v>58</v>
      </c>
      <c r="C63" s="21">
        <f>-C24</f>
        <v>-4027500</v>
      </c>
    </row>
    <row r="64" ht="14.25" customHeight="1">
      <c r="B64" s="23" t="s">
        <v>59</v>
      </c>
      <c r="C64" s="35">
        <f>C60+C61+C62+C63</f>
        <v>66727560.93</v>
      </c>
    </row>
    <row r="65" ht="14.25" customHeight="1"/>
    <row r="66" ht="14.25" customHeight="1">
      <c r="B66" s="20" t="s">
        <v>60</v>
      </c>
      <c r="C66" s="21">
        <f>C19*(1+C43)*(1+C44)^C45</f>
        <v>151305060.9</v>
      </c>
    </row>
    <row r="67" ht="14.25" customHeight="1"/>
    <row r="68" ht="14.25" customHeight="1">
      <c r="B68" s="3" t="s">
        <v>61</v>
      </c>
      <c r="C68" s="4"/>
      <c r="D68" s="4"/>
      <c r="E68" s="4"/>
      <c r="F68" s="4"/>
      <c r="G68" s="4"/>
      <c r="H68" s="4"/>
      <c r="I68" s="4"/>
      <c r="J68" s="4"/>
    </row>
    <row r="69" ht="14.25" customHeight="1">
      <c r="B69" s="25"/>
      <c r="C69" s="28" t="s">
        <v>62</v>
      </c>
      <c r="D69" s="29"/>
      <c r="E69" s="30"/>
      <c r="G69" s="31" t="s">
        <v>63</v>
      </c>
      <c r="H69" s="29"/>
      <c r="I69" s="30"/>
    </row>
    <row r="70" ht="14.25" customHeight="1">
      <c r="B70" s="25"/>
      <c r="C70" s="36" t="s">
        <v>46</v>
      </c>
      <c r="D70" s="36" t="s">
        <v>47</v>
      </c>
      <c r="E70" s="36" t="s">
        <v>48</v>
      </c>
      <c r="G70" s="37" t="s">
        <v>46</v>
      </c>
      <c r="H70" s="37" t="s">
        <v>47</v>
      </c>
      <c r="I70" s="37" t="s">
        <v>48</v>
      </c>
    </row>
    <row r="71" ht="14.25" customHeight="1">
      <c r="B71" s="10" t="s">
        <v>64</v>
      </c>
      <c r="C71" s="15">
        <f t="shared" ref="C71:E71" si="9">$C$25</f>
        <v>84577500</v>
      </c>
      <c r="D71" s="15">
        <f t="shared" si="9"/>
        <v>84577500</v>
      </c>
      <c r="E71" s="15">
        <f t="shared" si="9"/>
        <v>84577500</v>
      </c>
      <c r="G71" s="15">
        <f t="shared" ref="G71:I71" si="10">$C$25</f>
        <v>84577500</v>
      </c>
      <c r="H71" s="15">
        <f t="shared" si="10"/>
        <v>84577500</v>
      </c>
      <c r="I71" s="15">
        <f t="shared" si="10"/>
        <v>84577500</v>
      </c>
    </row>
    <row r="72" ht="14.25" customHeight="1">
      <c r="B72" s="14" t="s">
        <v>65</v>
      </c>
      <c r="C72" s="15">
        <f t="shared" ref="C72:E72" si="11">$C$60+$C$61</f>
        <v>42960000</v>
      </c>
      <c r="D72" s="15">
        <f t="shared" si="11"/>
        <v>42960000</v>
      </c>
      <c r="E72" s="15">
        <f t="shared" si="11"/>
        <v>42960000</v>
      </c>
      <c r="G72" s="15">
        <f t="shared" ref="G72:I72" si="12">$C$60+$C$61</f>
        <v>42960000</v>
      </c>
      <c r="H72" s="15">
        <f t="shared" si="12"/>
        <v>42960000</v>
      </c>
      <c r="I72" s="15">
        <f t="shared" si="12"/>
        <v>42960000</v>
      </c>
    </row>
    <row r="73" ht="14.25" customHeight="1">
      <c r="B73" s="14" t="s">
        <v>66</v>
      </c>
      <c r="C73" s="15">
        <f t="shared" ref="C73:E73" si="13">$C$62</f>
        <v>27795060.93</v>
      </c>
      <c r="D73" s="15">
        <f t="shared" si="13"/>
        <v>27795060.93</v>
      </c>
      <c r="E73" s="15">
        <f t="shared" si="13"/>
        <v>27795060.93</v>
      </c>
      <c r="G73" s="15">
        <f t="shared" ref="G73:I73" si="14">$C$62</f>
        <v>27795060.93</v>
      </c>
      <c r="H73" s="15">
        <f t="shared" si="14"/>
        <v>27795060.93</v>
      </c>
      <c r="I73" s="15">
        <f t="shared" si="14"/>
        <v>27795060.93</v>
      </c>
    </row>
    <row r="74" ht="14.25" customHeight="1">
      <c r="B74" s="14" t="s">
        <v>67</v>
      </c>
      <c r="C74" s="15">
        <f t="shared" ref="C74:E74" si="15">C57/3</f>
        <v>13212637.09</v>
      </c>
      <c r="D74" s="15">
        <f t="shared" si="15"/>
        <v>16371896.05</v>
      </c>
      <c r="E74" s="15">
        <f t="shared" si="15"/>
        <v>19531155.01</v>
      </c>
      <c r="G74" s="15">
        <f t="shared" ref="G74:I74" si="16">G57</f>
        <v>15495168</v>
      </c>
      <c r="H74" s="15">
        <f t="shared" si="16"/>
        <v>18865821</v>
      </c>
      <c r="I74" s="15">
        <f t="shared" si="16"/>
        <v>22236474</v>
      </c>
    </row>
    <row r="75" ht="14.25" customHeight="1">
      <c r="B75" s="23" t="s">
        <v>68</v>
      </c>
      <c r="C75" s="34">
        <f t="shared" ref="C75:E75" si="17">$C$66+C57</f>
        <v>190942972.2</v>
      </c>
      <c r="D75" s="34">
        <f t="shared" si="17"/>
        <v>200420749.1</v>
      </c>
      <c r="E75" s="34">
        <f t="shared" si="17"/>
        <v>209898526</v>
      </c>
      <c r="G75" s="34">
        <f t="shared" ref="G75:I75" si="18">$C$66+G57</f>
        <v>166800228.9</v>
      </c>
      <c r="H75" s="34">
        <f t="shared" si="18"/>
        <v>170170881.9</v>
      </c>
      <c r="I75" s="34">
        <f t="shared" si="18"/>
        <v>173541534.9</v>
      </c>
    </row>
    <row r="76" ht="14.25" customHeight="1">
      <c r="B76" s="23" t="s">
        <v>69</v>
      </c>
      <c r="C76" s="34">
        <f t="shared" ref="C76:E76" si="19">C75-$C$25</f>
        <v>106365472.2</v>
      </c>
      <c r="D76" s="34">
        <f t="shared" si="19"/>
        <v>115843249.1</v>
      </c>
      <c r="E76" s="34">
        <f t="shared" si="19"/>
        <v>125321026</v>
      </c>
      <c r="G76" s="34">
        <f t="shared" ref="G76:I76" si="20">G75-$C$25</f>
        <v>82222728.93</v>
      </c>
      <c r="H76" s="34">
        <f t="shared" si="20"/>
        <v>85593381.93</v>
      </c>
      <c r="I76" s="34">
        <f t="shared" si="20"/>
        <v>88964034.93</v>
      </c>
    </row>
    <row r="77" ht="14.25" customHeight="1">
      <c r="B77" s="10" t="s">
        <v>70</v>
      </c>
      <c r="C77" s="38">
        <f t="shared" ref="C77:E77" si="21">C75/$C$25</f>
        <v>2.257609556</v>
      </c>
      <c r="D77" s="38">
        <f t="shared" si="21"/>
        <v>2.369669819</v>
      </c>
      <c r="E77" s="38">
        <f t="shared" si="21"/>
        <v>2.481730082</v>
      </c>
      <c r="G77" s="38">
        <f t="shared" ref="G77:I77" si="22">G75/$C$25</f>
        <v>1.972158422</v>
      </c>
      <c r="H77" s="38">
        <f t="shared" si="22"/>
        <v>2.012011255</v>
      </c>
      <c r="I77" s="38">
        <f t="shared" si="22"/>
        <v>2.051864088</v>
      </c>
    </row>
    <row r="78" ht="14.25" customHeight="1">
      <c r="B78" s="23" t="s">
        <v>71</v>
      </c>
      <c r="C78" s="39">
        <f t="shared" ref="C78:E78" si="23">(C75/$C$25)^(1/((72-3)/12))-1</f>
        <v>0.1521370564</v>
      </c>
      <c r="D78" s="39">
        <f t="shared" si="23"/>
        <v>0.1618848853</v>
      </c>
      <c r="E78" s="39">
        <f t="shared" si="23"/>
        <v>0.1712590628</v>
      </c>
      <c r="G78" s="39">
        <f t="shared" ref="G78:I78" si="24">(G75/$C$25)^(1/((72-3)/12))-1</f>
        <v>0.1253671295</v>
      </c>
      <c r="H78" s="39">
        <f t="shared" si="24"/>
        <v>0.1292894944</v>
      </c>
      <c r="I78" s="39">
        <f t="shared" si="24"/>
        <v>0.1331481952</v>
      </c>
    </row>
    <row r="79" ht="14.25" customHeight="1"/>
    <row r="80" ht="14.25" customHeight="1">
      <c r="B80" s="40" t="s">
        <v>72</v>
      </c>
    </row>
    <row r="81" ht="14.25" customHeight="1">
      <c r="B81" s="5" t="s">
        <v>73</v>
      </c>
    </row>
    <row r="82" ht="14.25" customHeight="1">
      <c r="B82" s="5" t="s">
        <v>74</v>
      </c>
    </row>
    <row r="83" ht="14.25" customHeight="1">
      <c r="B83" s="5" t="s">
        <v>75</v>
      </c>
    </row>
    <row r="84" ht="14.25" customHeight="1">
      <c r="B84" s="5" t="s">
        <v>76</v>
      </c>
    </row>
    <row r="85" ht="14.25" customHeight="1">
      <c r="B85" s="5" t="s">
        <v>77</v>
      </c>
    </row>
    <row r="86" ht="14.25" customHeight="1">
      <c r="B86" s="5" t="s">
        <v>78</v>
      </c>
    </row>
    <row r="87" ht="14.25" customHeight="1">
      <c r="B87" s="5" t="s">
        <v>79</v>
      </c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50:E50"/>
    <mergeCell ref="G50:I50"/>
    <mergeCell ref="C69:E69"/>
    <mergeCell ref="G69:I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2026-06-05T06:41:22Z</dcterms:created>
  <dc:creator>openpyxl</dc:creator>
</cp:coreProperties>
</file>